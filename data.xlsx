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ypyp\Github\quiz\"/>
    </mc:Choice>
  </mc:AlternateContent>
  <xr:revisionPtr revIDLastSave="0" documentId="13_ncr:1_{C01782F7-B0BE-4B62-85CD-27638A5A7AD7}" xr6:coauthVersionLast="47" xr6:coauthVersionMax="47" xr10:uidLastSave="{00000000-0000-0000-0000-000000000000}"/>
  <bookViews>
    <workbookView xWindow="-110" yWindow="-110" windowWidth="19420" windowHeight="10300" xr2:uid="{AE6D8299-121F-4EBF-9236-88303A038FD2}"/>
  </bookViews>
  <sheets>
    <sheet name="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22" i="1"/>
  <c r="A23" i="1"/>
  <c r="A21" i="1"/>
  <c r="A20" i="1"/>
  <c r="A12" i="1"/>
  <c r="A11" i="1"/>
  <c r="A10" i="1"/>
  <c r="A9" i="1"/>
  <c r="A8" i="1"/>
  <c r="A7" i="1"/>
  <c r="A6" i="1"/>
  <c r="A5" i="1"/>
  <c r="A4" i="1"/>
  <c r="A3" i="1"/>
</calcChain>
</file>

<file path=xl/sharedStrings.xml><?xml version="1.0" encoding="utf-8"?>
<sst xmlns="http://schemas.openxmlformats.org/spreadsheetml/2006/main" count="49" uniqueCount="46">
  <si>
    <t>文章</t>
  </si>
  <si>
    <t>キーワード1</t>
  </si>
  <si>
    <t>キーワード2</t>
  </si>
  <si>
    <t>TCP/IP</t>
  </si>
  <si>
    <t>プロトコル</t>
  </si>
  <si>
    <t>セグメントマーケティング</t>
  </si>
  <si>
    <t>購買行動</t>
  </si>
  <si>
    <t>ハードウェア</t>
  </si>
  <si>
    <t>ファームウェア</t>
  </si>
  <si>
    <t>CPU</t>
  </si>
  <si>
    <t>制御と演算</t>
  </si>
  <si>
    <t>主記憶装置</t>
  </si>
  <si>
    <t>一時的に記憶</t>
  </si>
  <si>
    <t>補助記憶装置</t>
  </si>
  <si>
    <t>長期にわたり記憶する</t>
  </si>
  <si>
    <t>メモリ(RAM)</t>
  </si>
  <si>
    <t>HDDやSSD</t>
  </si>
  <si>
    <t>量子化</t>
  </si>
  <si>
    <t>仮想的な１つの</t>
  </si>
  <si>
    <t>ディスクアレイ</t>
  </si>
  <si>
    <t>高速化や信頼性の向上</t>
  </si>
  <si>
    <t>RAID</t>
  </si>
  <si>
    <t>映像データや音声データの圧縮方式はMPEGである。</t>
  </si>
  <si>
    <t>映像データ、音声データ</t>
  </si>
  <si>
    <t>MPEG</t>
  </si>
  <si>
    <t>GIF</t>
  </si>
  <si>
    <t>DBMS</t>
  </si>
  <si>
    <t>排他制御</t>
  </si>
  <si>
    <t>低電圧駆動、低消費電力</t>
  </si>
  <si>
    <t>有機EL</t>
  </si>
  <si>
    <t>フローチャート</t>
  </si>
  <si>
    <t>「IT」というのは「Information Technology」の略である。</t>
  </si>
  <si>
    <t>Information Tecnology</t>
  </si>
  <si>
    <t>インシデント</t>
  </si>
  <si>
    <t>中断・低下</t>
  </si>
  <si>
    <t>問題管理</t>
  </si>
  <si>
    <t>営業支援システム</t>
  </si>
  <si>
    <t>一元管理</t>
  </si>
  <si>
    <t>ファシリティマネジメント</t>
  </si>
  <si>
    <t>物理的管理</t>
  </si>
  <si>
    <t>トランザクション</t>
    <phoneticPr fontId="18"/>
  </si>
  <si>
    <t>データベースでは、一連の処理をひとまとめにしたものをトランザクションと呼ぶ。</t>
    <phoneticPr fontId="18"/>
  </si>
  <si>
    <t>イラストなどに使われている、最大表示色が256色である静止画圧縮ファイル形式はGIFである。</t>
    <phoneticPr fontId="18"/>
  </si>
  <si>
    <t>DBMSにおいて、データへの同時アクセスによる矛盾の発生を防止し、データの一貫性を保つための機能を排他制御という。</t>
    <phoneticPr fontId="18"/>
  </si>
  <si>
    <t>電圧を加えると自ら発光するのでバックライトが不要であり、低電圧駆動、低消費電力を特徴とするものを有機ELという。</t>
    <phoneticPr fontId="18"/>
  </si>
  <si>
    <t>プログラムの処理手順を図式を用いて視覚的に表したものをフローチャートという。</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</si>
</sst>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E985-4CBC-447B-B321-D1809E2BAF2D}">
  <dimension ref="A1:C23"/>
  <sheetViews>
    <sheetView tabSelected="1" zoomScale="64" workbookViewId="0">
      <selection activeCell="A18" sqref="A18"/>
    </sheetView>
  </sheetViews>
  <sheetFormatPr defaultRowHeight="18" x14ac:dyDescent="0.55000000000000004"/>
  <cols>
    <col min="1" max="1" width="192.75" bestFit="1" customWidth="1"/>
    <col min="2" max="2" width="25.33203125" bestFit="1" customWidth="1"/>
    <col min="3" max="3" width="21.33203125" bestFit="1" customWidth="1"/>
  </cols>
  <sheetData>
    <row r="1" spans="1:3" x14ac:dyDescent="0.55000000000000004">
      <c r="A1" t="s">
        <v>0</v>
      </c>
      <c r="B1" t="s">
        <v>1</v>
      </c>
      <c r="C1" t="s">
        <v>2</v>
      </c>
    </row>
    <row r="2" spans="1:3" x14ac:dyDescent="0.55000000000000004">
      <c r="A2" t="str">
        <f>"インターネット通信において最も使用されている"&amp;C2&amp;"は"&amp;B2&amp;"である"</f>
        <v>インターネット通信において最も使用されているプロトコルはTCP/IPである</v>
      </c>
      <c r="B2" t="s">
        <v>3</v>
      </c>
      <c r="C2" t="s">
        <v>4</v>
      </c>
    </row>
    <row r="3" spans="1:3" x14ac:dyDescent="0.55000000000000004">
      <c r="A3" t="str">
        <f>"年齢、性別、家族構成などによって顧客を分類し、それぞれのグループの"&amp;B3&amp;"を分析することによって、集中すべき顧客層を絞り込むマーケティング戦略として"&amp;C3&amp;"があげられる。"</f>
        <v>年齢、性別、家族構成などによって顧客を分類し、それぞれのグループのセグメントマーケティングを分析することによって、集中すべき顧客層を絞り込むマーケティング戦略として購買行動があげられる。</v>
      </c>
      <c r="B3" t="s">
        <v>5</v>
      </c>
      <c r="C3" t="s">
        <v>6</v>
      </c>
    </row>
    <row r="4" spans="1:3" x14ac:dyDescent="0.55000000000000004">
      <c r="A4" t="str">
        <f>"ゲーム機、家電製品などに搭載されている、"&amp;B4&amp;"の基本的な制御を行うためのソフトウェアは"&amp;C4&amp;"である。"</f>
        <v>ゲーム機、家電製品などに搭載されている、ハードウェアの基本的な制御を行うためのソフトウェアはファームウェアである。</v>
      </c>
      <c r="B4" t="s">
        <v>7</v>
      </c>
      <c r="C4" t="s">
        <v>8</v>
      </c>
    </row>
    <row r="5" spans="1:3" x14ac:dyDescent="0.55000000000000004">
      <c r="A5" t="str">
        <f>B5&amp;"はコンピュータの中枢部分で、"&amp;C5&amp;"を行う装置である。"</f>
        <v>CPUはコンピュータの中枢部分で、制御と演算を行う装置である。</v>
      </c>
      <c r="B5" t="s">
        <v>9</v>
      </c>
      <c r="C5" t="s">
        <v>10</v>
      </c>
    </row>
    <row r="6" spans="1:3" x14ac:dyDescent="0.55000000000000004">
      <c r="A6" t="str">
        <f>B6&amp;"は、コンピュータがが動作するために必要なプログラムやデータを"&amp;C6&amp;"する装置である。"</f>
        <v>主記憶装置は、コンピュータがが動作するために必要なプログラムやデータを一時的に記憶する装置である。</v>
      </c>
      <c r="B6" t="s">
        <v>11</v>
      </c>
      <c r="C6" t="s">
        <v>12</v>
      </c>
    </row>
    <row r="7" spans="1:3" x14ac:dyDescent="0.55000000000000004">
      <c r="A7" t="str">
        <f>B7&amp;"はプログラムやデータを"&amp;C7&amp;"装置である。"</f>
        <v>補助記憶装置はプログラムやデータを長期にわたり記憶する装置である。</v>
      </c>
      <c r="B7" t="s">
        <v>13</v>
      </c>
      <c r="C7" t="s">
        <v>14</v>
      </c>
    </row>
    <row r="8" spans="1:3" x14ac:dyDescent="0.55000000000000004">
      <c r="A8" t="str">
        <f>B8&amp;"の例として"&amp;C8&amp;"があげられる。"</f>
        <v>主記憶装置の例としてメモリ(RAM)があげられる。</v>
      </c>
      <c r="B8" t="s">
        <v>11</v>
      </c>
      <c r="C8" t="s">
        <v>15</v>
      </c>
    </row>
    <row r="9" spans="1:3" x14ac:dyDescent="0.55000000000000004">
      <c r="A9" t="str">
        <f>B9&amp;"の例として"&amp;C9&amp;"が挙げられる。"</f>
        <v>補助記憶装置の例としてHDDやSSDが挙げられる。</v>
      </c>
      <c r="B9" t="s">
        <v>13</v>
      </c>
      <c r="C9" t="s">
        <v>16</v>
      </c>
    </row>
    <row r="10" spans="1:3" x14ac:dyDescent="0.55000000000000004">
      <c r="A10" t="str">
        <f>"信号レベルを何段階で表示するかを定め、サンプリングしたデータをその段階数にあてはめて整数値に置き換える処理を"&amp;B10&amp;"という"</f>
        <v>信号レベルを何段階で表示するかを定め、サンプリングしたデータをその段階数にあてはめて整数値に置き換える処理を量子化という</v>
      </c>
      <c r="B10" t="s">
        <v>17</v>
      </c>
    </row>
    <row r="11" spans="1:3" x14ac:dyDescent="0.55000000000000004">
      <c r="A11" t="str">
        <f>"複数のハードディスクを"&amp;B11&amp;"ハードディスクにして運用する技術は"&amp;C11&amp;"である。"</f>
        <v>複数のハードディスクを仮想的な１つのハードディスクにして運用する技術はディスクアレイである。</v>
      </c>
      <c r="B11" t="s">
        <v>18</v>
      </c>
      <c r="C11" t="s">
        <v>19</v>
      </c>
    </row>
    <row r="12" spans="1:3" x14ac:dyDescent="0.55000000000000004">
      <c r="A12" t="str">
        <f>"ハードディスクの"&amp;B12&amp;"のために"&amp;C12&amp;"を用いるとよい。"</f>
        <v>ハードディスクの高速化や信頼性の向上のためにRAIDを用いるとよい。</v>
      </c>
      <c r="B12" t="s">
        <v>20</v>
      </c>
      <c r="C12" t="s">
        <v>21</v>
      </c>
    </row>
    <row r="13" spans="1:3" x14ac:dyDescent="0.55000000000000004">
      <c r="A13" t="s">
        <v>22</v>
      </c>
      <c r="B13" t="s">
        <v>23</v>
      </c>
      <c r="C13" t="s">
        <v>24</v>
      </c>
    </row>
    <row r="14" spans="1:3" x14ac:dyDescent="0.55000000000000004">
      <c r="A14" t="s">
        <v>42</v>
      </c>
      <c r="B14" t="s">
        <v>25</v>
      </c>
    </row>
    <row r="15" spans="1:3" x14ac:dyDescent="0.55000000000000004">
      <c r="A15" t="s">
        <v>43</v>
      </c>
      <c r="B15" t="s">
        <v>26</v>
      </c>
      <c r="C15" t="s">
        <v>27</v>
      </c>
    </row>
    <row r="16" spans="1:3" x14ac:dyDescent="0.55000000000000004">
      <c r="A16" t="s">
        <v>41</v>
      </c>
      <c r="B16" t="s">
        <v>40</v>
      </c>
    </row>
    <row r="17" spans="1:3" x14ac:dyDescent="0.55000000000000004">
      <c r="A17" t="s">
        <v>44</v>
      </c>
      <c r="B17" t="s">
        <v>28</v>
      </c>
      <c r="C17" t="s">
        <v>29</v>
      </c>
    </row>
    <row r="18" spans="1:3" x14ac:dyDescent="0.55000000000000004">
      <c r="A18" t="s">
        <v>45</v>
      </c>
      <c r="B18" t="s">
        <v>30</v>
      </c>
    </row>
    <row r="19" spans="1:3" x14ac:dyDescent="0.55000000000000004">
      <c r="A19" t="s">
        <v>31</v>
      </c>
      <c r="B19" t="s">
        <v>32</v>
      </c>
    </row>
    <row r="20" spans="1:3" x14ac:dyDescent="0.55000000000000004">
      <c r="A20" t="str">
        <f>"サービスを"&amp;C20&amp;"させる,もしくはその恐れがある事象を"&amp;B20&amp;"という"</f>
        <v>サービスを中断・低下させる,もしくはその恐れがある事象をインシデントという</v>
      </c>
      <c r="B20" t="s">
        <v>33</v>
      </c>
      <c r="C20" t="s">
        <v>34</v>
      </c>
    </row>
    <row r="21" spans="1:3" x14ac:dyDescent="0.55000000000000004">
      <c r="A21" t="str">
        <f>""&amp;B21&amp;"とは、"&amp;C21&amp;"の根本原因を特定・解決するための管理活動"</f>
        <v>問題管理とは、インシデントの根本原因を特定・解決するための管理活動</v>
      </c>
      <c r="B21" t="s">
        <v>35</v>
      </c>
      <c r="C21" t="s">
        <v>33</v>
      </c>
    </row>
    <row r="22" spans="1:3" x14ac:dyDescent="0.55000000000000004">
      <c r="A22" t="str">
        <f>""&amp;B22&amp;"とは、顧客情報や取引履歴、売り上げ状況や予測などの情報を"&amp;C22&amp;"して、組織の営業活動を効率化するための支援システムのこと"</f>
        <v>営業支援システムとは、顧客情報や取引履歴、売り上げ状況や予測などの情報を一元管理して、組織の営業活動を効率化するための支援システムのこと</v>
      </c>
      <c r="B22" t="s">
        <v>36</v>
      </c>
      <c r="C22" t="s">
        <v>37</v>
      </c>
    </row>
    <row r="23" spans="1:3" x14ac:dyDescent="0.55000000000000004">
      <c r="A23" t="str">
        <f>"IT機器や設備（電源・空調）の"&amp;C23&amp;"を"&amp;B23&amp;"という"</f>
        <v>IT機器や設備（電源・空調）の物理的管理をファシリティマネジメントという</v>
      </c>
      <c r="B23" t="s">
        <v>38</v>
      </c>
      <c r="C23" t="s">
        <v>39</v>
      </c>
    </row>
  </sheetData>
  <phoneticPr fontId="1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雄志 坂下</cp:lastModifiedBy>
  <cp:revision/>
  <dcterms:created xsi:type="dcterms:W3CDTF">2025-12-04T02:42:03Z</dcterms:created>
  <dcterms:modified xsi:type="dcterms:W3CDTF">2025-12-11T03:15:53Z</dcterms:modified>
  <cp:category/>
  <cp:contentStatus/>
</cp:coreProperties>
</file>